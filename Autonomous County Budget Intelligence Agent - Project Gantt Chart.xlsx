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9a7ba5e116c762/Documents/"/>
    </mc:Choice>
  </mc:AlternateContent>
  <xr:revisionPtr revIDLastSave="9" documentId="8_{D75379FA-4E28-4C4E-A11E-168BB2701A22}" xr6:coauthVersionLast="47" xr6:coauthVersionMax="47" xr10:uidLastSave="{363F2C87-39AB-4970-AD6F-4A63D9675CC7}"/>
  <bookViews>
    <workbookView xWindow="-110" yWindow="-110" windowWidth="19420" windowHeight="11500" xr2:uid="{8D704B1F-D603-45F2-9D03-82CAFB84C74E}"/>
  </bookViews>
  <sheets>
    <sheet name="Gantt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1" l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F25" i="1"/>
  <c r="S24" i="1"/>
  <c r="R24" i="1"/>
  <c r="Q24" i="1"/>
  <c r="P24" i="1"/>
  <c r="O24" i="1"/>
  <c r="N24" i="1"/>
  <c r="M24" i="1"/>
  <c r="L24" i="1"/>
  <c r="K24" i="1"/>
  <c r="J24" i="1"/>
  <c r="I24" i="1"/>
  <c r="H24" i="1"/>
  <c r="S23" i="1"/>
  <c r="R23" i="1"/>
  <c r="Q23" i="1"/>
  <c r="P23" i="1"/>
  <c r="O23" i="1"/>
  <c r="N23" i="1"/>
  <c r="M23" i="1"/>
  <c r="L23" i="1"/>
  <c r="K23" i="1"/>
  <c r="J23" i="1"/>
  <c r="I23" i="1"/>
  <c r="H23" i="1"/>
  <c r="S22" i="1"/>
  <c r="R22" i="1"/>
  <c r="Q22" i="1"/>
  <c r="P22" i="1"/>
  <c r="O22" i="1"/>
  <c r="N22" i="1"/>
  <c r="M22" i="1"/>
  <c r="L22" i="1"/>
  <c r="K22" i="1"/>
  <c r="J22" i="1"/>
  <c r="I22" i="1"/>
  <c r="H22" i="1"/>
  <c r="S21" i="1"/>
  <c r="R21" i="1"/>
  <c r="Q21" i="1"/>
  <c r="P21" i="1"/>
  <c r="O21" i="1"/>
  <c r="N21" i="1"/>
  <c r="M21" i="1"/>
  <c r="L21" i="1"/>
  <c r="K21" i="1"/>
  <c r="J21" i="1"/>
  <c r="I21" i="1"/>
  <c r="H21" i="1"/>
  <c r="S20" i="1"/>
  <c r="R20" i="1"/>
  <c r="Q20" i="1"/>
  <c r="P20" i="1"/>
  <c r="O20" i="1"/>
  <c r="N20" i="1"/>
  <c r="M20" i="1"/>
  <c r="L20" i="1"/>
  <c r="K20" i="1"/>
  <c r="J20" i="1"/>
  <c r="I20" i="1"/>
  <c r="H20" i="1"/>
  <c r="S19" i="1"/>
  <c r="R19" i="1"/>
  <c r="Q19" i="1"/>
  <c r="P19" i="1"/>
  <c r="O19" i="1"/>
  <c r="N19" i="1"/>
  <c r="M19" i="1"/>
  <c r="L19" i="1"/>
  <c r="K19" i="1"/>
  <c r="J19" i="1"/>
  <c r="I19" i="1"/>
  <c r="H19" i="1"/>
  <c r="S18" i="1"/>
  <c r="R18" i="1"/>
  <c r="Q18" i="1"/>
  <c r="P18" i="1"/>
  <c r="O18" i="1"/>
  <c r="N18" i="1"/>
  <c r="M18" i="1"/>
  <c r="L18" i="1"/>
  <c r="K18" i="1"/>
  <c r="J18" i="1"/>
  <c r="I18" i="1"/>
  <c r="H18" i="1"/>
  <c r="S17" i="1"/>
  <c r="R17" i="1"/>
  <c r="Q17" i="1"/>
  <c r="P17" i="1"/>
  <c r="O17" i="1"/>
  <c r="N17" i="1"/>
  <c r="M17" i="1"/>
  <c r="L17" i="1"/>
  <c r="K17" i="1"/>
  <c r="J17" i="1"/>
  <c r="I17" i="1"/>
  <c r="H17" i="1"/>
  <c r="S16" i="1"/>
  <c r="R16" i="1"/>
  <c r="Q16" i="1"/>
  <c r="P16" i="1"/>
  <c r="O16" i="1"/>
  <c r="N16" i="1"/>
  <c r="M16" i="1"/>
  <c r="L16" i="1"/>
  <c r="K16" i="1"/>
  <c r="J16" i="1"/>
  <c r="I16" i="1"/>
  <c r="H16" i="1"/>
  <c r="S15" i="1"/>
  <c r="R15" i="1"/>
  <c r="Q15" i="1"/>
  <c r="P15" i="1"/>
  <c r="O15" i="1"/>
  <c r="N15" i="1"/>
  <c r="M15" i="1"/>
  <c r="L15" i="1"/>
  <c r="K15" i="1"/>
  <c r="J15" i="1"/>
  <c r="I15" i="1"/>
  <c r="H15" i="1"/>
  <c r="S14" i="1"/>
  <c r="R14" i="1"/>
  <c r="Q14" i="1"/>
  <c r="P14" i="1"/>
  <c r="O14" i="1"/>
  <c r="N14" i="1"/>
  <c r="M14" i="1"/>
  <c r="L14" i="1"/>
  <c r="K14" i="1"/>
  <c r="J14" i="1"/>
  <c r="I14" i="1"/>
  <c r="H14" i="1"/>
  <c r="S13" i="1"/>
  <c r="R13" i="1"/>
  <c r="Q13" i="1"/>
  <c r="P13" i="1"/>
  <c r="O13" i="1"/>
  <c r="N13" i="1"/>
  <c r="M13" i="1"/>
  <c r="L13" i="1"/>
  <c r="K13" i="1"/>
  <c r="J13" i="1"/>
  <c r="I13" i="1"/>
  <c r="H13" i="1"/>
  <c r="S12" i="1"/>
  <c r="R12" i="1"/>
  <c r="Q12" i="1"/>
  <c r="P12" i="1"/>
  <c r="O12" i="1"/>
  <c r="N12" i="1"/>
  <c r="M12" i="1"/>
  <c r="L12" i="1"/>
  <c r="K12" i="1"/>
  <c r="J12" i="1"/>
  <c r="I12" i="1"/>
  <c r="H12" i="1"/>
  <c r="S11" i="1"/>
  <c r="R11" i="1"/>
  <c r="Q11" i="1"/>
  <c r="P11" i="1"/>
  <c r="O11" i="1"/>
  <c r="N11" i="1"/>
  <c r="M11" i="1"/>
  <c r="L11" i="1"/>
  <c r="K11" i="1"/>
  <c r="J11" i="1"/>
  <c r="I11" i="1"/>
  <c r="H11" i="1"/>
  <c r="S10" i="1"/>
  <c r="R10" i="1"/>
  <c r="Q10" i="1"/>
  <c r="P10" i="1"/>
  <c r="O10" i="1"/>
  <c r="N10" i="1"/>
  <c r="M10" i="1"/>
  <c r="L10" i="1"/>
  <c r="K10" i="1"/>
  <c r="J10" i="1"/>
  <c r="I10" i="1"/>
  <c r="H10" i="1"/>
  <c r="S9" i="1"/>
  <c r="R9" i="1"/>
  <c r="Q9" i="1"/>
  <c r="P9" i="1"/>
  <c r="O9" i="1"/>
  <c r="N9" i="1"/>
  <c r="M9" i="1"/>
  <c r="L9" i="1"/>
  <c r="K9" i="1"/>
  <c r="J9" i="1"/>
  <c r="I9" i="1"/>
  <c r="H9" i="1"/>
  <c r="S8" i="1"/>
  <c r="R8" i="1"/>
  <c r="Q8" i="1"/>
  <c r="P8" i="1"/>
  <c r="O8" i="1"/>
  <c r="N8" i="1"/>
  <c r="M8" i="1"/>
  <c r="L8" i="1"/>
  <c r="K8" i="1"/>
  <c r="J8" i="1"/>
  <c r="I8" i="1"/>
  <c r="H8" i="1"/>
  <c r="S7" i="1"/>
  <c r="R7" i="1"/>
  <c r="Q7" i="1"/>
  <c r="P7" i="1"/>
  <c r="O7" i="1"/>
  <c r="N7" i="1"/>
  <c r="M7" i="1"/>
  <c r="L7" i="1"/>
  <c r="K7" i="1"/>
  <c r="J7" i="1"/>
  <c r="I7" i="1"/>
  <c r="H7" i="1"/>
  <c r="S6" i="1"/>
  <c r="R6" i="1"/>
  <c r="Q6" i="1"/>
  <c r="P6" i="1"/>
  <c r="O6" i="1"/>
  <c r="N6" i="1"/>
  <c r="M6" i="1"/>
  <c r="L6" i="1"/>
  <c r="K6" i="1"/>
  <c r="J6" i="1"/>
  <c r="I6" i="1"/>
  <c r="H6" i="1"/>
  <c r="S5" i="1"/>
  <c r="R5" i="1"/>
  <c r="Q5" i="1"/>
  <c r="P5" i="1"/>
  <c r="O5" i="1"/>
  <c r="N5" i="1"/>
  <c r="M5" i="1"/>
  <c r="L5" i="1"/>
  <c r="K5" i="1"/>
  <c r="J5" i="1"/>
  <c r="I5" i="1"/>
  <c r="H5" i="1"/>
  <c r="S4" i="1"/>
  <c r="R4" i="1"/>
  <c r="Q4" i="1"/>
  <c r="P4" i="1"/>
  <c r="O4" i="1"/>
  <c r="N4" i="1"/>
  <c r="M4" i="1"/>
  <c r="L4" i="1"/>
  <c r="K4" i="1"/>
  <c r="J4" i="1"/>
  <c r="I4" i="1"/>
  <c r="H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</calcChain>
</file>

<file path=xl/sharedStrings.xml><?xml version="1.0" encoding="utf-8"?>
<sst xmlns="http://schemas.openxmlformats.org/spreadsheetml/2006/main" count="108" uniqueCount="64">
  <si>
    <t>Task Name</t>
  </si>
  <si>
    <t>Assignee</t>
  </si>
  <si>
    <t>Phase</t>
  </si>
  <si>
    <t>Start Date</t>
  </si>
  <si>
    <t>End Date</t>
  </si>
  <si>
    <t>Data Collection</t>
  </si>
  <si>
    <t>Hunter</t>
  </si>
  <si>
    <t>Setup</t>
  </si>
  <si>
    <t>Environment Setup</t>
  </si>
  <si>
    <t>Charles</t>
  </si>
  <si>
    <t>Initial Proposal</t>
  </si>
  <si>
    <t>Michael</t>
  </si>
  <si>
    <t>Data Cleaning &amp; Standardization</t>
  </si>
  <si>
    <t>Data Pipeline</t>
  </si>
  <si>
    <t>ChromaDB Vector Store Build</t>
  </si>
  <si>
    <t>Document Embedding (1,575+)</t>
  </si>
  <si>
    <t>Agent v1: RAG Integration</t>
  </si>
  <si>
    <t>Development</t>
  </si>
  <si>
    <t>Agent v2: Full Pipeline</t>
  </si>
  <si>
    <t>Chart Generation</t>
  </si>
  <si>
    <t>Streamlit UI Build</t>
  </si>
  <si>
    <t>James</t>
  </si>
  <si>
    <t>UI Development</t>
  </si>
  <si>
    <t>Dataset Switching Feature</t>
  </si>
  <si>
    <t>Reasoning Trace Visualization</t>
  </si>
  <si>
    <t>Retry Mechanism</t>
  </si>
  <si>
    <t>End-to-End Testing</t>
  </si>
  <si>
    <t>All Team</t>
  </si>
  <si>
    <t>Testing</t>
  </si>
  <si>
    <t>Bug Fixing &amp; Edge Cases</t>
  </si>
  <si>
    <t>Charles/Hunter</t>
  </si>
  <si>
    <t>UI Polish &amp; Aesthetics</t>
  </si>
  <si>
    <t>Reasoning Trace Logs</t>
  </si>
  <si>
    <t>Documentation</t>
  </si>
  <si>
    <t>Business Impact Summary</t>
  </si>
  <si>
    <t>GitHub Documentation</t>
  </si>
  <si>
    <t>Presentation Deck</t>
  </si>
  <si>
    <t>Enhancement</t>
  </si>
  <si>
    <t>Final Submission</t>
  </si>
  <si>
    <t>Team</t>
  </si>
  <si>
    <t>Submission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</si>
  <si>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</si>
  <si>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</si>
  <si>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</si>
  <si>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</si>
  <si>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</si>
  <si>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</si>
  <si>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</si>
  <si>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</si>
  <si>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</si>
  <si>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</si>
  <si>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KEY MILESTONES</t>
  </si>
  <si>
    <t>Duration</t>
  </si>
  <si>
    <t>CrewAI Integration</t>
  </si>
  <si>
    <t>LEGEND - Phases</t>
  </si>
  <si>
    <t>W1</t>
  </si>
  <si>
    <t>W2</t>
  </si>
  <si>
    <t>W3</t>
  </si>
  <si>
    <t>Autonomous County Budget Intelligence Agent - Project Gantt Chart (Jan-Apr 2026)</t>
  </si>
  <si>
    <t>■</t>
  </si>
  <si>
    <t>Prototype Complete:</t>
  </si>
  <si>
    <t>Final Submission:</t>
  </si>
  <si>
    <t>Initial Proposal Due:</t>
  </si>
  <si>
    <t>Revised Proposal Due: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</si>
</sst>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0"/>
      <color rgb="FF4472C4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10"/>
      <color rgb="FFED7D31"/>
      <name val="Aptos Narrow"/>
      <family val="2"/>
      <scheme val="minor"/>
    </font>
    <font>
      <b/>
      <sz val="10"/>
      <color rgb="FFFFC000"/>
      <name val="Aptos Narrow"/>
      <family val="2"/>
      <scheme val="minor"/>
    </font>
    <font>
      <b/>
      <sz val="10"/>
      <color rgb="FF00B0F0"/>
      <name val="Aptos Narrow"/>
      <family val="2"/>
      <scheme val="minor"/>
    </font>
    <font>
      <b/>
      <sz val="10"/>
      <color rgb="FF808080"/>
      <name val="Aptos Narrow"/>
      <family val="2"/>
      <scheme val="minor"/>
    </font>
    <font>
      <b/>
      <sz val="10"/>
      <color rgb="FF40404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4472C4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ED7D3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14"/>
      <color rgb="FF4472C4"/>
      <name val="Aptos Narrow"/>
      <family val="2"/>
      <scheme val="minor"/>
    </font>
    <font>
      <sz val="14"/>
      <color rgb="FF7030A0"/>
      <name val="Aptos Narrow"/>
      <family val="2"/>
      <scheme val="minor"/>
    </font>
    <font>
      <sz val="14"/>
      <color rgb="FFC00000"/>
      <name val="Aptos Narrow"/>
      <family val="2"/>
      <scheme val="minor"/>
    </font>
    <font>
      <sz val="14"/>
      <color rgb="FFED7D31"/>
      <name val="Aptos Narrow"/>
      <family val="2"/>
      <scheme val="minor"/>
    </font>
    <font>
      <sz val="14"/>
      <color rgb="FFFFC000"/>
      <name val="Aptos Narrow"/>
      <family val="2"/>
      <scheme val="minor"/>
    </font>
    <font>
      <sz val="14"/>
      <color rgb="FF00B0F0"/>
      <name val="Aptos Narrow"/>
      <family val="2"/>
      <scheme val="minor"/>
    </font>
    <font>
      <sz val="14"/>
      <color rgb="FF404040"/>
      <name val="Aptos Narrow"/>
      <family val="2"/>
      <scheme val="minor"/>
    </font>
    <font>
      <sz val="11"/>
      <color rgb="FF7F7F7F"/>
      <name val="Aptos Narrow"/>
      <family val="2"/>
      <scheme val="minor"/>
    </font>
    <font>
      <sz val="14"/>
      <color rgb="FF7F7F7F"/>
      <name val="Aptos Narrow"/>
      <family val="2"/>
      <scheme val="minor"/>
    </font>
    <font>
      <b/>
      <sz val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1F4E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/>
    <xf numFmtId="0" fontId="0" fillId="3" borderId="0" xfId="0" applyFill="1"/>
    <xf numFmtId="0" fontId="4" fillId="3" borderId="0" xfId="0" applyFont="1" applyFill="1"/>
    <xf numFmtId="0" fontId="7" fillId="3" borderId="0" xfId="0" applyFont="1" applyFill="1" applyAlignment="1">
      <alignment horizontal="center"/>
    </xf>
    <xf numFmtId="0" fontId="0" fillId="4" borderId="0" xfId="0" applyFill="1"/>
    <xf numFmtId="0" fontId="4" fillId="4" borderId="0" xfId="0" applyFont="1" applyFill="1"/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5" fillId="4" borderId="0" xfId="0" applyFont="1" applyFill="1"/>
    <xf numFmtId="0" fontId="10" fillId="4" borderId="0" xfId="0" applyFont="1" applyFill="1" applyAlignment="1">
      <alignment horizontal="center"/>
    </xf>
    <xf numFmtId="0" fontId="5" fillId="3" borderId="0" xfId="0" applyFont="1" applyFill="1"/>
    <xf numFmtId="0" fontId="10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16" fontId="15" fillId="6" borderId="0" xfId="0" applyNumberFormat="1" applyFont="1" applyFill="1" applyAlignment="1">
      <alignment horizontal="center"/>
    </xf>
    <xf numFmtId="15" fontId="0" fillId="3" borderId="0" xfId="0" applyNumberFormat="1" applyFill="1"/>
    <xf numFmtId="15" fontId="0" fillId="4" borderId="0" xfId="0" applyNumberFormat="1" applyFill="1"/>
    <xf numFmtId="0" fontId="0" fillId="7" borderId="0" xfId="0" applyFill="1"/>
    <xf numFmtId="0" fontId="6" fillId="7" borderId="0" xfId="0" applyFont="1" applyFill="1" applyAlignment="1">
      <alignment horizontal="center"/>
    </xf>
    <xf numFmtId="0" fontId="2" fillId="7" borderId="1" xfId="0" applyFont="1" applyFill="1" applyBorder="1"/>
    <xf numFmtId="0" fontId="2" fillId="7" borderId="0" xfId="0" applyFont="1" applyFill="1" applyBorder="1"/>
    <xf numFmtId="0" fontId="0" fillId="0" borderId="4" xfId="0" applyBorder="1"/>
    <xf numFmtId="0" fontId="0" fillId="7" borderId="5" xfId="0" applyFill="1" applyBorder="1"/>
    <xf numFmtId="0" fontId="0" fillId="3" borderId="5" xfId="0" applyFill="1" applyBorder="1"/>
    <xf numFmtId="0" fontId="3" fillId="3" borderId="5" xfId="0" applyFont="1" applyFill="1" applyBorder="1"/>
    <xf numFmtId="15" fontId="0" fillId="3" borderId="5" xfId="0" applyNumberFormat="1" applyFill="1" applyBorder="1"/>
    <xf numFmtId="15" fontId="0" fillId="3" borderId="6" xfId="0" applyNumberFormat="1" applyFill="1" applyBorder="1"/>
    <xf numFmtId="0" fontId="24" fillId="3" borderId="0" xfId="0" applyFont="1" applyFill="1" applyBorder="1" applyAlignment="1">
      <alignment horizontal="center"/>
    </xf>
    <xf numFmtId="0" fontId="0" fillId="0" borderId="0" xfId="0" applyFill="1" applyBorder="1"/>
    <xf numFmtId="0" fontId="25" fillId="3" borderId="0" xfId="0" applyFont="1" applyFill="1" applyBorder="1" applyAlignment="1">
      <alignment horizontal="center"/>
    </xf>
    <xf numFmtId="0" fontId="26" fillId="3" borderId="0" xfId="0" applyFont="1" applyFill="1" applyBorder="1" applyAlignment="1">
      <alignment horizontal="center"/>
    </xf>
    <xf numFmtId="0" fontId="27" fillId="3" borderId="0" xfId="0" applyFont="1" applyFill="1" applyBorder="1" applyAlignment="1">
      <alignment horizontal="center"/>
    </xf>
    <xf numFmtId="0" fontId="28" fillId="3" borderId="0" xfId="0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/>
    </xf>
    <xf numFmtId="0" fontId="29" fillId="3" borderId="0" xfId="0" applyFont="1" applyFill="1" applyBorder="1" applyAlignment="1">
      <alignment horizontal="center"/>
    </xf>
    <xf numFmtId="0" fontId="0" fillId="3" borderId="0" xfId="0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2" fillId="7" borderId="1" xfId="0" applyFont="1" applyFill="1" applyBorder="1" applyAlignment="1">
      <alignment horizontal="center"/>
    </xf>
    <xf numFmtId="0" fontId="23" fillId="3" borderId="0" xfId="0" applyFont="1" applyFill="1" applyBorder="1" applyAlignment="1">
      <alignment horizontal="center"/>
    </xf>
    <xf numFmtId="0" fontId="2" fillId="7" borderId="3" xfId="0" applyFont="1" applyFill="1" applyBorder="1"/>
    <xf numFmtId="0" fontId="7" fillId="4" borderId="0" xfId="0" applyFont="1" applyFill="1" applyBorder="1" applyAlignment="1">
      <alignment horizontal="center"/>
    </xf>
    <xf numFmtId="0" fontId="16" fillId="4" borderId="0" xfId="0" applyFont="1" applyFill="1" applyBorder="1"/>
    <xf numFmtId="0" fontId="7" fillId="3" borderId="0" xfId="0" applyFont="1" applyFill="1" applyBorder="1" applyAlignment="1">
      <alignment horizontal="center"/>
    </xf>
    <xf numFmtId="0" fontId="16" fillId="3" borderId="0" xfId="0" applyFont="1" applyFill="1" applyBorder="1"/>
    <xf numFmtId="0" fontId="8" fillId="4" borderId="0" xfId="0" applyFont="1" applyFill="1" applyBorder="1" applyAlignment="1">
      <alignment horizontal="center"/>
    </xf>
    <xf numFmtId="0" fontId="17" fillId="4" borderId="0" xfId="0" applyFont="1" applyFill="1" applyBorder="1"/>
    <xf numFmtId="0" fontId="8" fillId="3" borderId="0" xfId="0" applyFont="1" applyFill="1" applyBorder="1" applyAlignment="1">
      <alignment horizontal="center"/>
    </xf>
    <xf numFmtId="0" fontId="17" fillId="3" borderId="0" xfId="0" applyFont="1" applyFill="1" applyBorder="1"/>
    <xf numFmtId="0" fontId="9" fillId="3" borderId="0" xfId="0" applyFont="1" applyFill="1" applyBorder="1" applyAlignment="1">
      <alignment horizontal="center"/>
    </xf>
    <xf numFmtId="0" fontId="18" fillId="3" borderId="0" xfId="0" applyFont="1" applyFill="1" applyBorder="1"/>
    <xf numFmtId="0" fontId="9" fillId="4" borderId="0" xfId="0" applyFont="1" applyFill="1" applyBorder="1" applyAlignment="1">
      <alignment horizontal="center"/>
    </xf>
    <xf numFmtId="0" fontId="18" fillId="4" borderId="0" xfId="0" applyFont="1" applyFill="1" applyBorder="1"/>
    <xf numFmtId="0" fontId="10" fillId="4" borderId="0" xfId="0" applyFont="1" applyFill="1" applyBorder="1" applyAlignment="1">
      <alignment horizontal="center"/>
    </xf>
    <xf numFmtId="0" fontId="19" fillId="4" borderId="0" xfId="0" applyFont="1" applyFill="1" applyBorder="1"/>
    <xf numFmtId="0" fontId="10" fillId="3" borderId="0" xfId="0" applyFont="1" applyFill="1" applyBorder="1" applyAlignment="1">
      <alignment horizontal="center"/>
    </xf>
    <xf numFmtId="0" fontId="19" fillId="3" borderId="0" xfId="0" applyFont="1" applyFill="1" applyBorder="1"/>
    <xf numFmtId="0" fontId="11" fillId="4" borderId="0" xfId="0" applyFont="1" applyFill="1" applyBorder="1" applyAlignment="1">
      <alignment horizontal="center"/>
    </xf>
    <xf numFmtId="0" fontId="20" fillId="4" borderId="0" xfId="0" applyFont="1" applyFill="1" applyBorder="1"/>
    <xf numFmtId="0" fontId="11" fillId="3" borderId="0" xfId="0" applyFont="1" applyFill="1" applyBorder="1" applyAlignment="1">
      <alignment horizontal="center"/>
    </xf>
    <xf numFmtId="0" fontId="20" fillId="3" borderId="0" xfId="0" applyFont="1" applyFill="1" applyBorder="1"/>
    <xf numFmtId="0" fontId="12" fillId="3" borderId="0" xfId="0" applyFont="1" applyFill="1" applyBorder="1" applyAlignment="1">
      <alignment horizontal="center"/>
    </xf>
    <xf numFmtId="0" fontId="21" fillId="3" borderId="0" xfId="0" applyFont="1" applyFill="1" applyBorder="1"/>
    <xf numFmtId="0" fontId="12" fillId="4" borderId="0" xfId="0" applyFont="1" applyFill="1" applyBorder="1" applyAlignment="1">
      <alignment horizontal="center"/>
    </xf>
    <xf numFmtId="0" fontId="21" fillId="4" borderId="0" xfId="0" applyFont="1" applyFill="1" applyBorder="1"/>
    <xf numFmtId="0" fontId="13" fillId="3" borderId="0" xfId="0" applyFont="1" applyFill="1" applyBorder="1" applyAlignment="1">
      <alignment horizontal="center"/>
    </xf>
    <xf numFmtId="0" fontId="30" fillId="3" borderId="0" xfId="0" applyFont="1" applyFill="1" applyBorder="1"/>
    <xf numFmtId="0" fontId="14" fillId="4" borderId="0" xfId="0" applyFont="1" applyFill="1" applyBorder="1" applyAlignment="1">
      <alignment horizontal="center"/>
    </xf>
    <xf numFmtId="0" fontId="22" fillId="2" borderId="0" xfId="0" applyFont="1" applyFill="1" applyBorder="1"/>
    <xf numFmtId="16" fontId="32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59D25F4-ED55-4201-A38B-FA43442A0B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2455-743F-411F-8267-5A6FE723D55D}">
  <sheetPr>
    <pageSetUpPr fitToPage="1"/>
  </sheetPr>
  <dimension ref="A1:W25"/>
  <sheetViews>
    <sheetView tabSelected="1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V20" sqref="V20"/>
    </sheetView>
  </sheetViews>
  <sheetFormatPr defaultRowHeight="14.5" x14ac:dyDescent="0.35"/>
  <cols>
    <col min="1" max="1" width="36.36328125" customWidth="1"/>
    <col min="2" max="2" width="16.36328125" customWidth="1"/>
    <col min="3" max="3" width="18.1796875" customWidth="1"/>
    <col min="4" max="5" width="15.453125" customWidth="1"/>
    <col min="6" max="6" width="10.90625" customWidth="1"/>
    <col min="7" max="7" width="2.7265625" customWidth="1"/>
    <col min="8" max="18" width="11.81640625" customWidth="1"/>
    <col min="20" max="20" width="10" customWidth="1"/>
    <col min="21" max="21" width="2.7265625" customWidth="1"/>
    <col min="22" max="22" width="21.81640625" customWidth="1"/>
    <col min="23" max="23" width="18.1796875" customWidth="1"/>
  </cols>
  <sheetData>
    <row r="1" spans="1:23" ht="18.5" x14ac:dyDescent="0.45">
      <c r="A1" s="28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7"/>
      <c r="T1" s="27"/>
      <c r="U1" s="38"/>
      <c r="V1" s="29" t="s">
        <v>54</v>
      </c>
      <c r="W1" s="31"/>
    </row>
    <row r="2" spans="1:23" x14ac:dyDescent="0.35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52</v>
      </c>
      <c r="G2" s="22"/>
      <c r="H2" s="23" t="s">
        <v>55</v>
      </c>
      <c r="I2" s="23" t="s">
        <v>56</v>
      </c>
      <c r="J2" s="23" t="s">
        <v>57</v>
      </c>
      <c r="K2" s="23" t="s">
        <v>41</v>
      </c>
      <c r="L2" s="23" t="s">
        <v>42</v>
      </c>
      <c r="M2" s="23" t="s">
        <v>43</v>
      </c>
      <c r="N2" s="23" t="s">
        <v>44</v>
      </c>
      <c r="O2" s="23" t="s">
        <v>45</v>
      </c>
      <c r="P2" s="23" t="s">
        <v>46</v>
      </c>
      <c r="Q2" s="23" t="s">
        <v>47</v>
      </c>
      <c r="R2" s="23" t="s">
        <v>48</v>
      </c>
      <c r="S2" s="50" t="s">
        <v>49</v>
      </c>
      <c r="T2" s="48" t="s">
        <v>50</v>
      </c>
      <c r="U2" s="38"/>
      <c r="V2" s="45"/>
      <c r="W2" s="33"/>
    </row>
    <row r="3" spans="1:23" ht="18.5" x14ac:dyDescent="0.45">
      <c r="H3" s="24">
        <v>46048</v>
      </c>
      <c r="I3" s="24">
        <v>46055</v>
      </c>
      <c r="J3" s="24">
        <v>46062</v>
      </c>
      <c r="K3" s="24">
        <v>46069</v>
      </c>
      <c r="L3" s="24">
        <v>46076</v>
      </c>
      <c r="M3" s="24">
        <v>46083</v>
      </c>
      <c r="N3" s="24">
        <v>46090</v>
      </c>
      <c r="O3" s="24">
        <v>46097</v>
      </c>
      <c r="P3" s="24">
        <v>46104</v>
      </c>
      <c r="Q3" s="24">
        <v>46111</v>
      </c>
      <c r="R3" s="24">
        <v>46118</v>
      </c>
      <c r="S3" s="79">
        <v>46125</v>
      </c>
      <c r="T3" s="79">
        <v>46132</v>
      </c>
      <c r="U3" s="38"/>
      <c r="V3" s="49" t="s">
        <v>59</v>
      </c>
      <c r="W3" s="34" t="s">
        <v>7</v>
      </c>
    </row>
    <row r="4" spans="1:23" ht="18.5" x14ac:dyDescent="0.45">
      <c r="A4" s="2" t="s">
        <v>5</v>
      </c>
      <c r="B4" s="2" t="s">
        <v>6</v>
      </c>
      <c r="C4" s="3" t="s">
        <v>7</v>
      </c>
      <c r="D4" s="25">
        <v>46046</v>
      </c>
      <c r="E4" s="25">
        <v>46056</v>
      </c>
      <c r="F4" s="2">
        <f>E4-D4+1</f>
        <v>11</v>
      </c>
      <c r="G4" s="2"/>
      <c r="H4" s="4" t="str">
        <f>IF(AND($D4&lt;&gt;"",$E4&gt;=46048,$D4&lt;=46054),"██████","")</f>
        <v>██████</v>
      </c>
      <c r="I4" s="4" t="str">
        <f>IF(AND($D4&lt;&gt;"",$E4&gt;=46055,$D4&lt;=46061),"██████","")</f>
        <v>██████</v>
      </c>
      <c r="J4" s="4" t="str">
        <f>IF(AND($D4&lt;&gt;"",$E4&gt;=46062,$D4&lt;=46068),"██████","")</f>
        <v/>
      </c>
      <c r="K4" s="4" t="str">
        <f>IF(AND($D4&lt;&gt;"",$E4&gt;=46069,$D4&lt;=46075),"██████","")</f>
        <v/>
      </c>
      <c r="L4" s="4" t="str">
        <f>IF(AND($D4&lt;&gt;"",$E4&gt;=46076,$D4&lt;=46082),"██████","")</f>
        <v/>
      </c>
      <c r="M4" s="4" t="str">
        <f>IF(AND($D4&lt;&gt;"",$E4&gt;=46083,$D4&lt;=46089),"██████","")</f>
        <v/>
      </c>
      <c r="N4" s="4" t="str">
        <f>IF(AND($D4&lt;&gt;"",$E4&gt;=46090,$D4&lt;=46096),"██████","")</f>
        <v/>
      </c>
      <c r="O4" s="4" t="str">
        <f>IF(AND($D4&lt;&gt;"",$E4&gt;=46097,$D4&lt;=46103),"██████","")</f>
        <v/>
      </c>
      <c r="P4" s="4" t="str">
        <f>IF(AND($D4&lt;&gt;"",$E4&gt;=46104,$D4&lt;=46110),"██████","")</f>
        <v/>
      </c>
      <c r="Q4" s="4" t="str">
        <f>IF(AND($D4&lt;&gt;"",$E4&gt;=46111,$D4&lt;=46117),"██████","")</f>
        <v/>
      </c>
      <c r="R4" s="4" t="str">
        <f>IF(AND($D4&lt;&gt;"",$E4&gt;=46118,$D4&lt;=46124),"██████","")</f>
        <v/>
      </c>
      <c r="S4" s="53" t="str">
        <f>IF(AND($D4&lt;&gt;"",$E4&gt;=46125,$D4&lt;=46131),"██████","")</f>
        <v/>
      </c>
      <c r="T4" s="54" t="str">
        <f>IF(AND($D4&lt;=T$3+6,$E4&gt;=T$3),"██████","")</f>
        <v/>
      </c>
      <c r="U4" s="38"/>
      <c r="V4" s="37" t="s">
        <v>59</v>
      </c>
      <c r="W4" s="34" t="s">
        <v>13</v>
      </c>
    </row>
    <row r="5" spans="1:23" ht="18.5" x14ac:dyDescent="0.45">
      <c r="A5" s="5" t="s">
        <v>8</v>
      </c>
      <c r="B5" s="5" t="s">
        <v>9</v>
      </c>
      <c r="C5" s="6" t="s">
        <v>7</v>
      </c>
      <c r="D5" s="26">
        <v>46052</v>
      </c>
      <c r="E5" s="26">
        <v>46056</v>
      </c>
      <c r="F5" s="5">
        <f>E5-D5+1</f>
        <v>5</v>
      </c>
      <c r="G5" s="5"/>
      <c r="H5" s="7" t="str">
        <f>IF(AND($D5&lt;&gt;"",$E5&gt;=46048,$D5&lt;=46054),"██████","")</f>
        <v>██████</v>
      </c>
      <c r="I5" s="7" t="str">
        <f>IF(AND($D5&lt;&gt;"",$E5&gt;=46055,$D5&lt;=46061),"██████","")</f>
        <v>██████</v>
      </c>
      <c r="J5" s="7" t="str">
        <f>IF(AND($D5&lt;&gt;"",$E5&gt;=46062,$D5&lt;=46068),"██████","")</f>
        <v/>
      </c>
      <c r="K5" s="7" t="str">
        <f>IF(AND($D5&lt;&gt;"",$E5&gt;=46069,$D5&lt;=46075),"██████","")</f>
        <v/>
      </c>
      <c r="L5" s="7" t="str">
        <f>IF(AND($D5&lt;&gt;"",$E5&gt;=46076,$D5&lt;=46082),"██████","")</f>
        <v/>
      </c>
      <c r="M5" s="7" t="str">
        <f>IF(AND($D5&lt;&gt;"",$E5&gt;=46083,$D5&lt;=46089),"██████","")</f>
        <v/>
      </c>
      <c r="N5" s="7" t="str">
        <f>IF(AND($D5&lt;&gt;"",$E5&gt;=46090,$D5&lt;=46096),"██████","")</f>
        <v/>
      </c>
      <c r="O5" s="7" t="str">
        <f>IF(AND($D5&lt;&gt;"",$E5&gt;=46097,$D5&lt;=46103),"██████","")</f>
        <v/>
      </c>
      <c r="P5" s="7" t="str">
        <f>IF(AND($D5&lt;&gt;"",$E5&gt;=46104,$D5&lt;=46110),"██████","")</f>
        <v/>
      </c>
      <c r="Q5" s="7" t="str">
        <f>IF(AND($D5&lt;&gt;"",$E5&gt;=46111,$D5&lt;=46117),"██████","")</f>
        <v/>
      </c>
      <c r="R5" s="7" t="str">
        <f>IF(AND($D5&lt;&gt;"",$E5&gt;=46118,$D5&lt;=46124),"██████","")</f>
        <v/>
      </c>
      <c r="S5" s="51" t="str">
        <f>IF(AND($D5&lt;&gt;"",$E5&gt;=46125,$D5&lt;=46131),"██████","")</f>
        <v/>
      </c>
      <c r="T5" s="52" t="str">
        <f>IF(AND($D5&lt;=T$3+6,$E5&gt;=T$3),"██████","")</f>
        <v/>
      </c>
      <c r="U5" s="38"/>
      <c r="V5" s="39" t="s">
        <v>59</v>
      </c>
      <c r="W5" s="34" t="s">
        <v>17</v>
      </c>
    </row>
    <row r="6" spans="1:23" ht="18.5" x14ac:dyDescent="0.45">
      <c r="A6" s="2" t="s">
        <v>10</v>
      </c>
      <c r="B6" s="2" t="s">
        <v>11</v>
      </c>
      <c r="C6" s="3" t="s">
        <v>7</v>
      </c>
      <c r="D6" s="25">
        <v>46053</v>
      </c>
      <c r="E6" s="25">
        <v>46058</v>
      </c>
      <c r="F6" s="2">
        <f>E6-D6+1</f>
        <v>6</v>
      </c>
      <c r="G6" s="2"/>
      <c r="H6" s="4" t="str">
        <f>IF(AND($D6&lt;&gt;"",$E6&gt;=46048,$D6&lt;=46054),"██████","")</f>
        <v>██████</v>
      </c>
      <c r="I6" s="4" t="str">
        <f>IF(AND($D6&lt;&gt;"",$E6&gt;=46055,$D6&lt;=46061),"██████","")</f>
        <v>██████</v>
      </c>
      <c r="J6" s="4" t="str">
        <f>IF(AND($D6&lt;&gt;"",$E6&gt;=46062,$D6&lt;=46068),"██████","")</f>
        <v/>
      </c>
      <c r="K6" s="4" t="str">
        <f>IF(AND($D6&lt;&gt;"",$E6&gt;=46069,$D6&lt;=46075),"██████","")</f>
        <v/>
      </c>
      <c r="L6" s="4" t="str">
        <f>IF(AND($D6&lt;&gt;"",$E6&gt;=46076,$D6&lt;=46082),"██████","")</f>
        <v/>
      </c>
      <c r="M6" s="4" t="str">
        <f>IF(AND($D6&lt;&gt;"",$E6&gt;=46083,$D6&lt;=46089),"██████","")</f>
        <v/>
      </c>
      <c r="N6" s="4" t="str">
        <f>IF(AND($D6&lt;&gt;"",$E6&gt;=46090,$D6&lt;=46096),"██████","")</f>
        <v/>
      </c>
      <c r="O6" s="4" t="str">
        <f>IF(AND($D6&lt;&gt;"",$E6&gt;=46097,$D6&lt;=46103),"██████","")</f>
        <v/>
      </c>
      <c r="P6" s="4" t="str">
        <f>IF(AND($D6&lt;&gt;"",$E6&gt;=46104,$D6&lt;=46110),"██████","")</f>
        <v/>
      </c>
      <c r="Q6" s="4" t="str">
        <f>IF(AND($D6&lt;&gt;"",$E6&gt;=46111,$D6&lt;=46117),"██████","")</f>
        <v/>
      </c>
      <c r="R6" s="4" t="str">
        <f>IF(AND($D6&lt;&gt;"",$E6&gt;=46118,$D6&lt;=46124),"██████","")</f>
        <v/>
      </c>
      <c r="S6" s="53" t="str">
        <f>IF(AND($D6&lt;&gt;"",$E6&gt;=46125,$D6&lt;=46131),"██████","")</f>
        <v/>
      </c>
      <c r="T6" s="54" t="str">
        <f>IF(AND($D6&lt;=T$3+6,$E6&gt;=T$3),"██████","")</f>
        <v/>
      </c>
      <c r="U6" s="38"/>
      <c r="V6" s="40" t="s">
        <v>59</v>
      </c>
      <c r="W6" s="34" t="s">
        <v>22</v>
      </c>
    </row>
    <row r="7" spans="1:23" ht="18.5" x14ac:dyDescent="0.45">
      <c r="A7" s="5" t="s">
        <v>12</v>
      </c>
      <c r="B7" s="5" t="s">
        <v>6</v>
      </c>
      <c r="C7" s="6" t="s">
        <v>13</v>
      </c>
      <c r="D7" s="26">
        <v>46056</v>
      </c>
      <c r="E7" s="26">
        <v>46064</v>
      </c>
      <c r="F7" s="5">
        <f>E7-D7+1</f>
        <v>9</v>
      </c>
      <c r="G7" s="5"/>
      <c r="H7" s="8" t="str">
        <f>IF(AND($D7&lt;&gt;"",$E7&gt;=46048,$D7&lt;=46054),"██████","")</f>
        <v/>
      </c>
      <c r="I7" s="8" t="str">
        <f>IF(AND($D7&lt;&gt;"",$E7&gt;=46055,$D7&lt;=46061),"██████","")</f>
        <v>██████</v>
      </c>
      <c r="J7" s="8" t="str">
        <f>IF(AND($D7&lt;&gt;"",$E7&gt;=46062,$D7&lt;=46068),"██████","")</f>
        <v>██████</v>
      </c>
      <c r="K7" s="8" t="str">
        <f>IF(AND($D7&lt;&gt;"",$E7&gt;=46069,$D7&lt;=46075),"██████","")</f>
        <v/>
      </c>
      <c r="L7" s="8" t="str">
        <f>IF(AND($D7&lt;&gt;"",$E7&gt;=46076,$D7&lt;=46082),"██████","")</f>
        <v/>
      </c>
      <c r="M7" s="8" t="str">
        <f>IF(AND($D7&lt;&gt;"",$E7&gt;=46083,$D7&lt;=46089),"██████","")</f>
        <v/>
      </c>
      <c r="N7" s="8" t="str">
        <f>IF(AND($D7&lt;&gt;"",$E7&gt;=46090,$D7&lt;=46096),"██████","")</f>
        <v/>
      </c>
      <c r="O7" s="8" t="str">
        <f>IF(AND($D7&lt;&gt;"",$E7&gt;=46097,$D7&lt;=46103),"██████","")</f>
        <v/>
      </c>
      <c r="P7" s="8" t="str">
        <f>IF(AND($D7&lt;&gt;"",$E7&gt;=46104,$D7&lt;=46110),"██████","")</f>
        <v/>
      </c>
      <c r="Q7" s="8" t="str">
        <f>IF(AND($D7&lt;&gt;"",$E7&gt;=46111,$D7&lt;=46117),"██████","")</f>
        <v/>
      </c>
      <c r="R7" s="8" t="str">
        <f>IF(AND($D7&lt;&gt;"",$E7&gt;=46118,$D7&lt;=46124),"██████","")</f>
        <v/>
      </c>
      <c r="S7" s="55" t="str">
        <f>IF(AND($D7&lt;&gt;"",$E7&gt;=46125,$D7&lt;=46131),"██████","")</f>
        <v/>
      </c>
      <c r="T7" s="56" t="str">
        <f>IF(AND($D7&lt;=T$3+6,$E7&gt;=T$3),"██████","")</f>
        <v/>
      </c>
      <c r="U7" s="38"/>
      <c r="V7" s="41" t="s">
        <v>59</v>
      </c>
      <c r="W7" s="34" t="s">
        <v>28</v>
      </c>
    </row>
    <row r="8" spans="1:23" ht="18.5" x14ac:dyDescent="0.45">
      <c r="A8" s="2" t="s">
        <v>14</v>
      </c>
      <c r="B8" s="2" t="s">
        <v>6</v>
      </c>
      <c r="C8" s="3" t="s">
        <v>13</v>
      </c>
      <c r="D8" s="25">
        <v>46062</v>
      </c>
      <c r="E8" s="25">
        <v>46070</v>
      </c>
      <c r="F8" s="2">
        <f>E8-D8+1</f>
        <v>9</v>
      </c>
      <c r="G8" s="2"/>
      <c r="H8" s="9" t="str">
        <f>IF(AND($D8&lt;&gt;"",$E8&gt;=46048,$D8&lt;=46054),"██████","")</f>
        <v/>
      </c>
      <c r="I8" s="9" t="str">
        <f>IF(AND($D8&lt;&gt;"",$E8&gt;=46055,$D8&lt;=46061),"██████","")</f>
        <v/>
      </c>
      <c r="J8" s="9" t="str">
        <f>IF(AND($D8&lt;&gt;"",$E8&gt;=46062,$D8&lt;=46068),"██████","")</f>
        <v>██████</v>
      </c>
      <c r="K8" s="9" t="str">
        <f>IF(AND($D8&lt;&gt;"",$E8&gt;=46069,$D8&lt;=46075),"██████","")</f>
        <v>██████</v>
      </c>
      <c r="L8" s="9" t="str">
        <f>IF(AND($D8&lt;&gt;"",$E8&gt;=46076,$D8&lt;=46082),"██████","")</f>
        <v/>
      </c>
      <c r="M8" s="9" t="str">
        <f>IF(AND($D8&lt;&gt;"",$E8&gt;=46083,$D8&lt;=46089),"██████","")</f>
        <v/>
      </c>
      <c r="N8" s="9" t="str">
        <f>IF(AND($D8&lt;&gt;"",$E8&gt;=46090,$D8&lt;=46096),"██████","")</f>
        <v/>
      </c>
      <c r="O8" s="9" t="str">
        <f>IF(AND($D8&lt;&gt;"",$E8&gt;=46097,$D8&lt;=46103),"██████","")</f>
        <v/>
      </c>
      <c r="P8" s="9" t="str">
        <f>IF(AND($D8&lt;&gt;"",$E8&gt;=46104,$D8&lt;=46110),"██████","")</f>
        <v/>
      </c>
      <c r="Q8" s="9" t="str">
        <f>IF(AND($D8&lt;&gt;"",$E8&gt;=46111,$D8&lt;=46117),"██████","")</f>
        <v/>
      </c>
      <c r="R8" s="9" t="str">
        <f>IF(AND($D8&lt;&gt;"",$E8&gt;=46118,$D8&lt;=46124),"██████","")</f>
        <v/>
      </c>
      <c r="S8" s="57" t="str">
        <f>IF(AND($D8&lt;&gt;"",$E8&gt;=46125,$D8&lt;=46131),"██████","")</f>
        <v/>
      </c>
      <c r="T8" s="58" t="str">
        <f>IF(AND($D8&lt;=T$3+6,$E8&gt;=T$3),"██████","")</f>
        <v/>
      </c>
      <c r="U8" s="38"/>
      <c r="V8" s="42" t="s">
        <v>59</v>
      </c>
      <c r="W8" s="34" t="s">
        <v>33</v>
      </c>
    </row>
    <row r="9" spans="1:23" ht="18.5" x14ac:dyDescent="0.45">
      <c r="A9" s="5" t="s">
        <v>15</v>
      </c>
      <c r="B9" s="5" t="s">
        <v>6</v>
      </c>
      <c r="C9" s="6" t="s">
        <v>13</v>
      </c>
      <c r="D9" s="26">
        <v>46064</v>
      </c>
      <c r="E9" s="26">
        <v>46070</v>
      </c>
      <c r="F9" s="5">
        <f>E9-D9+1</f>
        <v>7</v>
      </c>
      <c r="G9" s="5"/>
      <c r="H9" s="8" t="str">
        <f>IF(AND($D9&lt;&gt;"",$E9&gt;=46048,$D9&lt;=46054),"██████","")</f>
        <v/>
      </c>
      <c r="I9" s="8" t="str">
        <f>IF(AND($D9&lt;&gt;"",$E9&gt;=46055,$D9&lt;=46061),"██████","")</f>
        <v/>
      </c>
      <c r="J9" s="8" t="str">
        <f>IF(AND($D9&lt;&gt;"",$E9&gt;=46062,$D9&lt;=46068),"██████","")</f>
        <v>██████</v>
      </c>
      <c r="K9" s="8" t="str">
        <f>IF(AND($D9&lt;&gt;"",$E9&gt;=46069,$D9&lt;=46075),"██████","")</f>
        <v>██████</v>
      </c>
      <c r="L9" s="8" t="str">
        <f>IF(AND($D9&lt;&gt;"",$E9&gt;=46076,$D9&lt;=46082),"██████","")</f>
        <v/>
      </c>
      <c r="M9" s="8" t="str">
        <f>IF(AND($D9&lt;&gt;"",$E9&gt;=46083,$D9&lt;=46089),"██████","")</f>
        <v/>
      </c>
      <c r="N9" s="8" t="str">
        <f>IF(AND($D9&lt;&gt;"",$E9&gt;=46090,$D9&lt;=46096),"██████","")</f>
        <v/>
      </c>
      <c r="O9" s="8" t="str">
        <f>IF(AND($D9&lt;&gt;"",$E9&gt;=46097,$D9&lt;=46103),"██████","")</f>
        <v/>
      </c>
      <c r="P9" s="8" t="str">
        <f>IF(AND($D9&lt;&gt;"",$E9&gt;=46104,$D9&lt;=46110),"██████","")</f>
        <v/>
      </c>
      <c r="Q9" s="8" t="str">
        <f>IF(AND($D9&lt;&gt;"",$E9&gt;=46111,$D9&lt;=46117),"██████","")</f>
        <v/>
      </c>
      <c r="R9" s="8" t="str">
        <f>IF(AND($D9&lt;&gt;"",$E9&gt;=46118,$D9&lt;=46124),"██████","")</f>
        <v/>
      </c>
      <c r="S9" s="55" t="str">
        <f>IF(AND($D9&lt;&gt;"",$E9&gt;=46125,$D9&lt;=46131),"██████","")</f>
        <v/>
      </c>
      <c r="T9" s="56" t="str">
        <f>IF(AND($D9&lt;=T$3+6,$E9&gt;=T$3),"██████","")</f>
        <v/>
      </c>
      <c r="U9" s="38"/>
      <c r="V9" s="43" t="s">
        <v>59</v>
      </c>
      <c r="W9" s="34" t="s">
        <v>37</v>
      </c>
    </row>
    <row r="10" spans="1:23" ht="18.5" x14ac:dyDescent="0.45">
      <c r="A10" s="2" t="s">
        <v>16</v>
      </c>
      <c r="B10" s="2" t="s">
        <v>9</v>
      </c>
      <c r="C10" s="3" t="s">
        <v>17</v>
      </c>
      <c r="D10" s="25">
        <v>46067</v>
      </c>
      <c r="E10" s="25">
        <v>46074</v>
      </c>
      <c r="F10" s="2">
        <f>E10-D10+1</f>
        <v>8</v>
      </c>
      <c r="G10" s="2"/>
      <c r="H10" s="10" t="str">
        <f>IF(AND($D10&lt;&gt;"",$E10&gt;=46048,$D10&lt;=46054),"██████","")</f>
        <v/>
      </c>
      <c r="I10" s="10" t="str">
        <f>IF(AND($D10&lt;&gt;"",$E10&gt;=46055,$D10&lt;=46061),"██████","")</f>
        <v/>
      </c>
      <c r="J10" s="10" t="str">
        <f>IF(AND($D10&lt;&gt;"",$E10&gt;=46062,$D10&lt;=46068),"██████","")</f>
        <v>██████</v>
      </c>
      <c r="K10" s="10" t="str">
        <f>IF(AND($D10&lt;&gt;"",$E10&gt;=46069,$D10&lt;=46075),"██████","")</f>
        <v>██████</v>
      </c>
      <c r="L10" s="10" t="str">
        <f>IF(AND($D10&lt;&gt;"",$E10&gt;=46076,$D10&lt;=46082),"██████","")</f>
        <v/>
      </c>
      <c r="M10" s="10" t="str">
        <f>IF(AND($D10&lt;&gt;"",$E10&gt;=46083,$D10&lt;=46089),"██████","")</f>
        <v/>
      </c>
      <c r="N10" s="10" t="str">
        <f>IF(AND($D10&lt;&gt;"",$E10&gt;=46090,$D10&lt;=46096),"██████","")</f>
        <v/>
      </c>
      <c r="O10" s="10" t="str">
        <f>IF(AND($D10&lt;&gt;"",$E10&gt;=46097,$D10&lt;=46103),"██████","")</f>
        <v/>
      </c>
      <c r="P10" s="10" t="str">
        <f>IF(AND($D10&lt;&gt;"",$E10&gt;=46104,$D10&lt;=46110),"██████","")</f>
        <v/>
      </c>
      <c r="Q10" s="10" t="str">
        <f>IF(AND($D10&lt;&gt;"",$E10&gt;=46111,$D10&lt;=46117),"██████","")</f>
        <v/>
      </c>
      <c r="R10" s="10" t="str">
        <f>IF(AND($D10&lt;&gt;"",$E10&gt;=46118,$D10&lt;=46124),"██████","")</f>
        <v/>
      </c>
      <c r="S10" s="59" t="str">
        <f>IF(AND($D10&lt;&gt;"",$E10&gt;=46125,$D10&lt;=46131),"██████","")</f>
        <v/>
      </c>
      <c r="T10" s="60" t="str">
        <f>IF(AND($D10&lt;=T$3+6,$E10&gt;=T$3),"██████","")</f>
        <v/>
      </c>
      <c r="U10" s="38"/>
      <c r="V10" s="44" t="s">
        <v>59</v>
      </c>
      <c r="W10" s="34" t="s">
        <v>40</v>
      </c>
    </row>
    <row r="11" spans="1:23" x14ac:dyDescent="0.35">
      <c r="A11" s="5" t="s">
        <v>18</v>
      </c>
      <c r="B11" s="5" t="s">
        <v>9</v>
      </c>
      <c r="C11" s="6" t="s">
        <v>17</v>
      </c>
      <c r="D11" s="26">
        <v>46072</v>
      </c>
      <c r="E11" s="26">
        <v>46080</v>
      </c>
      <c r="F11" s="5">
        <f>E11-D11+1</f>
        <v>9</v>
      </c>
      <c r="G11" s="5"/>
      <c r="H11" s="11" t="str">
        <f>IF(AND($D11&lt;&gt;"",$E11&gt;=46048,$D11&lt;=46054),"██████","")</f>
        <v/>
      </c>
      <c r="I11" s="11" t="str">
        <f>IF(AND($D11&lt;&gt;"",$E11&gt;=46055,$D11&lt;=46061),"██████","")</f>
        <v/>
      </c>
      <c r="J11" s="11" t="str">
        <f>IF(AND($D11&lt;&gt;"",$E11&gt;=46062,$D11&lt;=46068),"██████","")</f>
        <v/>
      </c>
      <c r="K11" s="11" t="str">
        <f>IF(AND($D11&lt;&gt;"",$E11&gt;=46069,$D11&lt;=46075),"██████","")</f>
        <v>██████</v>
      </c>
      <c r="L11" s="11" t="str">
        <f>IF(AND($D11&lt;&gt;"",$E11&gt;=46076,$D11&lt;=46082),"██████","")</f>
        <v>██████</v>
      </c>
      <c r="M11" s="11" t="str">
        <f>IF(AND($D11&lt;&gt;"",$E11&gt;=46083,$D11&lt;=46089),"██████","")</f>
        <v/>
      </c>
      <c r="N11" s="11" t="str">
        <f>IF(AND($D11&lt;&gt;"",$E11&gt;=46090,$D11&lt;=46096),"██████","")</f>
        <v/>
      </c>
      <c r="O11" s="11" t="str">
        <f>IF(AND($D11&lt;&gt;"",$E11&gt;=46097,$D11&lt;=46103),"██████","")</f>
        <v/>
      </c>
      <c r="P11" s="11" t="str">
        <f>IF(AND($D11&lt;&gt;"",$E11&gt;=46104,$D11&lt;=46110),"██████","")</f>
        <v/>
      </c>
      <c r="Q11" s="11" t="str">
        <f>IF(AND($D11&lt;&gt;"",$E11&gt;=46111,$D11&lt;=46117),"██████","")</f>
        <v/>
      </c>
      <c r="R11" s="11" t="str">
        <f>IF(AND($D11&lt;&gt;"",$E11&gt;=46118,$D11&lt;=46124),"██████","")</f>
        <v/>
      </c>
      <c r="S11" s="61" t="str">
        <f>IF(AND($D11&lt;&gt;"",$E11&gt;=46125,$D11&lt;=46131),"██████","")</f>
        <v/>
      </c>
      <c r="T11" s="62" t="str">
        <f>IF(AND($D11&lt;=T$3+6,$E11&gt;=T$3),"██████","")</f>
        <v/>
      </c>
      <c r="U11" s="38"/>
      <c r="V11" s="45"/>
      <c r="W11" s="33"/>
    </row>
    <row r="12" spans="1:23" x14ac:dyDescent="0.35">
      <c r="A12" s="2" t="s">
        <v>19</v>
      </c>
      <c r="B12" s="2" t="s">
        <v>9</v>
      </c>
      <c r="C12" s="3" t="s">
        <v>17</v>
      </c>
      <c r="D12" s="25">
        <v>46076</v>
      </c>
      <c r="E12" s="25">
        <v>46083</v>
      </c>
      <c r="F12" s="2">
        <f>E12-D12+1</f>
        <v>8</v>
      </c>
      <c r="G12" s="2"/>
      <c r="H12" s="10" t="str">
        <f>IF(AND($D12&lt;&gt;"",$E12&gt;=46048,$D12&lt;=46054),"██████","")</f>
        <v/>
      </c>
      <c r="I12" s="10" t="str">
        <f>IF(AND($D12&lt;&gt;"",$E12&gt;=46055,$D12&lt;=46061),"██████","")</f>
        <v/>
      </c>
      <c r="J12" s="10" t="str">
        <f>IF(AND($D12&lt;&gt;"",$E12&gt;=46062,$D12&lt;=46068),"██████","")</f>
        <v/>
      </c>
      <c r="K12" s="10" t="str">
        <f>IF(AND($D12&lt;&gt;"",$E12&gt;=46069,$D12&lt;=46075),"██████","")</f>
        <v/>
      </c>
      <c r="L12" s="10" t="str">
        <f>IF(AND($D12&lt;&gt;"",$E12&gt;=46076,$D12&lt;=46082),"██████","")</f>
        <v>██████</v>
      </c>
      <c r="M12" s="10" t="str">
        <f>IF(AND($D12&lt;&gt;"",$E12&gt;=46083,$D12&lt;=46089),"██████","")</f>
        <v>██████</v>
      </c>
      <c r="N12" s="10" t="str">
        <f>IF(AND($D12&lt;&gt;"",$E12&gt;=46090,$D12&lt;=46096),"██████","")</f>
        <v/>
      </c>
      <c r="O12" s="10" t="str">
        <f>IF(AND($D12&lt;&gt;"",$E12&gt;=46097,$D12&lt;=46103),"██████","")</f>
        <v/>
      </c>
      <c r="P12" s="10" t="str">
        <f>IF(AND($D12&lt;&gt;"",$E12&gt;=46104,$D12&lt;=46110),"██████","")</f>
        <v/>
      </c>
      <c r="Q12" s="10" t="str">
        <f>IF(AND($D12&lt;&gt;"",$E12&gt;=46111,$D12&lt;=46117),"██████","")</f>
        <v/>
      </c>
      <c r="R12" s="10" t="str">
        <f>IF(AND($D12&lt;&gt;"",$E12&gt;=46118,$D12&lt;=46124),"██████","")</f>
        <v/>
      </c>
      <c r="S12" s="59" t="str">
        <f>IF(AND($D12&lt;&gt;"",$E12&gt;=46125,$D12&lt;=46131),"██████","")</f>
        <v/>
      </c>
      <c r="T12" s="60" t="str">
        <f>IF(AND($D12&lt;=T$3+6,$E12&gt;=T$3),"██████","")</f>
        <v/>
      </c>
      <c r="U12" s="38"/>
      <c r="V12" s="30" t="s">
        <v>51</v>
      </c>
      <c r="W12" s="32"/>
    </row>
    <row r="13" spans="1:23" x14ac:dyDescent="0.35">
      <c r="A13" s="5" t="s">
        <v>20</v>
      </c>
      <c r="B13" s="5" t="s">
        <v>21</v>
      </c>
      <c r="C13" s="12" t="s">
        <v>22</v>
      </c>
      <c r="D13" s="26">
        <v>46078</v>
      </c>
      <c r="E13" s="26">
        <v>46086</v>
      </c>
      <c r="F13" s="5">
        <f>E13-D13+1</f>
        <v>9</v>
      </c>
      <c r="G13" s="5"/>
      <c r="H13" s="13" t="str">
        <f>IF(AND($D13&lt;&gt;"",$E13&gt;=46048,$D13&lt;=46054),"██████","")</f>
        <v/>
      </c>
      <c r="I13" s="13" t="str">
        <f>IF(AND($D13&lt;&gt;"",$E13&gt;=46055,$D13&lt;=46061),"██████","")</f>
        <v/>
      </c>
      <c r="J13" s="13" t="str">
        <f>IF(AND($D13&lt;&gt;"",$E13&gt;=46062,$D13&lt;=46068),"██████","")</f>
        <v/>
      </c>
      <c r="K13" s="13" t="str">
        <f>IF(AND($D13&lt;&gt;"",$E13&gt;=46069,$D13&lt;=46075),"██████","")</f>
        <v/>
      </c>
      <c r="L13" s="13" t="str">
        <f>IF(AND($D13&lt;&gt;"",$E13&gt;=46076,$D13&lt;=46082),"██████","")</f>
        <v>██████</v>
      </c>
      <c r="M13" s="13" t="str">
        <f>IF(AND($D13&lt;&gt;"",$E13&gt;=46083,$D13&lt;=46089),"██████","")</f>
        <v>██████</v>
      </c>
      <c r="N13" s="13" t="str">
        <f>IF(AND($D13&lt;&gt;"",$E13&gt;=46090,$D13&lt;=46096),"██████","")</f>
        <v/>
      </c>
      <c r="O13" s="13" t="str">
        <f>IF(AND($D13&lt;&gt;"",$E13&gt;=46097,$D13&lt;=46103),"██████","")</f>
        <v/>
      </c>
      <c r="P13" s="13" t="str">
        <f>IF(AND($D13&lt;&gt;"",$E13&gt;=46104,$D13&lt;=46110),"██████","")</f>
        <v/>
      </c>
      <c r="Q13" s="13" t="str">
        <f>IF(AND($D13&lt;&gt;"",$E13&gt;=46111,$D13&lt;=46117),"██████","")</f>
        <v/>
      </c>
      <c r="R13" s="13" t="str">
        <f>IF(AND($D13&lt;&gt;"",$E13&gt;=46118,$D13&lt;=46124),"██████","")</f>
        <v/>
      </c>
      <c r="S13" s="63" t="str">
        <f>IF(AND($D13&lt;&gt;"",$E13&gt;=46125,$D13&lt;=46131),"██████","")</f>
        <v/>
      </c>
      <c r="T13" s="64" t="str">
        <f>IF(AND($D13&lt;=T$3+6,$E13&gt;=T$3),"██████","")</f>
        <v/>
      </c>
      <c r="U13" s="38"/>
      <c r="V13" s="46" t="s">
        <v>62</v>
      </c>
      <c r="W13" s="35">
        <v>46082</v>
      </c>
    </row>
    <row r="14" spans="1:23" x14ac:dyDescent="0.35">
      <c r="A14" s="2" t="s">
        <v>23</v>
      </c>
      <c r="B14" s="2" t="s">
        <v>21</v>
      </c>
      <c r="C14" s="14" t="s">
        <v>22</v>
      </c>
      <c r="D14" s="25">
        <v>46081</v>
      </c>
      <c r="E14" s="25">
        <v>46086</v>
      </c>
      <c r="F14" s="2">
        <f>E14-D14+1</f>
        <v>6</v>
      </c>
      <c r="G14" s="2"/>
      <c r="H14" s="15" t="str">
        <f>IF(AND($D14&lt;&gt;"",$E14&gt;=46048,$D14&lt;=46054),"██████","")</f>
        <v/>
      </c>
      <c r="I14" s="15" t="str">
        <f>IF(AND($D14&lt;&gt;"",$E14&gt;=46055,$D14&lt;=46061),"██████","")</f>
        <v/>
      </c>
      <c r="J14" s="15" t="str">
        <f>IF(AND($D14&lt;&gt;"",$E14&gt;=46062,$D14&lt;=46068),"██████","")</f>
        <v/>
      </c>
      <c r="K14" s="15" t="str">
        <f>IF(AND($D14&lt;&gt;"",$E14&gt;=46069,$D14&lt;=46075),"██████","")</f>
        <v/>
      </c>
      <c r="L14" s="15" t="str">
        <f>IF(AND($D14&lt;&gt;"",$E14&gt;=46076,$D14&lt;=46082),"██████","")</f>
        <v>██████</v>
      </c>
      <c r="M14" s="15" t="str">
        <f>IF(AND($D14&lt;&gt;"",$E14&gt;=46083,$D14&lt;=46089),"██████","")</f>
        <v>██████</v>
      </c>
      <c r="N14" s="15" t="str">
        <f>IF(AND($D14&lt;&gt;"",$E14&gt;=46090,$D14&lt;=46096),"██████","")</f>
        <v/>
      </c>
      <c r="O14" s="15" t="str">
        <f>IF(AND($D14&lt;&gt;"",$E14&gt;=46097,$D14&lt;=46103),"██████","")</f>
        <v/>
      </c>
      <c r="P14" s="15" t="str">
        <f>IF(AND($D14&lt;&gt;"",$E14&gt;=46104,$D14&lt;=46110),"██████","")</f>
        <v/>
      </c>
      <c r="Q14" s="15" t="str">
        <f>IF(AND($D14&lt;&gt;"",$E14&gt;=46111,$D14&lt;=46117),"██████","")</f>
        <v/>
      </c>
      <c r="R14" s="15" t="str">
        <f>IF(AND($D14&lt;&gt;"",$E14&gt;=46118,$D14&lt;=46124),"██████","")</f>
        <v/>
      </c>
      <c r="S14" s="65" t="str">
        <f>IF(AND($D14&lt;&gt;"",$E14&gt;=46125,$D14&lt;=46131),"██████","")</f>
        <v/>
      </c>
      <c r="T14" s="66" t="str">
        <f>IF(AND($D14&lt;=T$3+6,$E14&gt;=T$3),"██████","")</f>
        <v/>
      </c>
      <c r="U14" s="38"/>
      <c r="V14" s="46" t="s">
        <v>60</v>
      </c>
      <c r="W14" s="35">
        <v>46085</v>
      </c>
    </row>
    <row r="15" spans="1:23" x14ac:dyDescent="0.35">
      <c r="A15" s="5" t="s">
        <v>24</v>
      </c>
      <c r="B15" s="5" t="s">
        <v>21</v>
      </c>
      <c r="C15" s="12" t="s">
        <v>22</v>
      </c>
      <c r="D15" s="26">
        <v>46082</v>
      </c>
      <c r="E15" s="26">
        <v>46088</v>
      </c>
      <c r="F15" s="5">
        <f>E15-D15+1</f>
        <v>7</v>
      </c>
      <c r="G15" s="5"/>
      <c r="H15" s="13" t="str">
        <f>IF(AND($D15&lt;&gt;"",$E15&gt;=46048,$D15&lt;=46054),"██████","")</f>
        <v/>
      </c>
      <c r="I15" s="13" t="str">
        <f>IF(AND($D15&lt;&gt;"",$E15&gt;=46055,$D15&lt;=46061),"██████","")</f>
        <v/>
      </c>
      <c r="J15" s="13" t="str">
        <f>IF(AND($D15&lt;&gt;"",$E15&gt;=46062,$D15&lt;=46068),"██████","")</f>
        <v/>
      </c>
      <c r="K15" s="13" t="str">
        <f>IF(AND($D15&lt;&gt;"",$E15&gt;=46069,$D15&lt;=46075),"██████","")</f>
        <v/>
      </c>
      <c r="L15" s="13" t="str">
        <f>IF(AND($D15&lt;&gt;"",$E15&gt;=46076,$D15&lt;=46082),"██████","")</f>
        <v>██████</v>
      </c>
      <c r="M15" s="13" t="str">
        <f>IF(AND($D15&lt;&gt;"",$E15&gt;=46083,$D15&lt;=46089),"██████","")</f>
        <v>██████</v>
      </c>
      <c r="N15" s="13" t="str">
        <f>IF(AND($D15&lt;&gt;"",$E15&gt;=46090,$D15&lt;=46096),"██████","")</f>
        <v/>
      </c>
      <c r="O15" s="13" t="str">
        <f>IF(AND($D15&lt;&gt;"",$E15&gt;=46097,$D15&lt;=46103),"██████","")</f>
        <v/>
      </c>
      <c r="P15" s="13" t="str">
        <f>IF(AND($D15&lt;&gt;"",$E15&gt;=46104,$D15&lt;=46110),"██████","")</f>
        <v/>
      </c>
      <c r="Q15" s="13" t="str">
        <f>IF(AND($D15&lt;&gt;"",$E15&gt;=46111,$D15&lt;=46117),"██████","")</f>
        <v/>
      </c>
      <c r="R15" s="13" t="str">
        <f>IF(AND($D15&lt;&gt;"",$E15&gt;=46118,$D15&lt;=46124),"██████","")</f>
        <v/>
      </c>
      <c r="S15" s="63" t="str">
        <f>IF(AND($D15&lt;&gt;"",$E15&gt;=46125,$D15&lt;=46131),"██████","")</f>
        <v/>
      </c>
      <c r="T15" s="64" t="str">
        <f>IF(AND($D15&lt;=T$3+6,$E15&gt;=T$3),"██████","")</f>
        <v/>
      </c>
      <c r="U15" s="38"/>
      <c r="V15" s="46" t="s">
        <v>63</v>
      </c>
      <c r="W15" s="35">
        <v>46101</v>
      </c>
    </row>
    <row r="16" spans="1:23" x14ac:dyDescent="0.35">
      <c r="A16" s="2" t="s">
        <v>25</v>
      </c>
      <c r="B16" s="2" t="s">
        <v>21</v>
      </c>
      <c r="C16" s="14" t="s">
        <v>22</v>
      </c>
      <c r="D16" s="25">
        <v>46083</v>
      </c>
      <c r="E16" s="25">
        <v>46086</v>
      </c>
      <c r="F16" s="2">
        <f>E16-D16+1</f>
        <v>4</v>
      </c>
      <c r="G16" s="2"/>
      <c r="H16" s="15" t="str">
        <f>IF(AND($D16&lt;&gt;"",$E16&gt;=46048,$D16&lt;=46054),"██████","")</f>
        <v/>
      </c>
      <c r="I16" s="15" t="str">
        <f>IF(AND($D16&lt;&gt;"",$E16&gt;=46055,$D16&lt;=46061),"██████","")</f>
        <v/>
      </c>
      <c r="J16" s="15" t="str">
        <f>IF(AND($D16&lt;&gt;"",$E16&gt;=46062,$D16&lt;=46068),"██████","")</f>
        <v/>
      </c>
      <c r="K16" s="15" t="str">
        <f>IF(AND($D16&lt;&gt;"",$E16&gt;=46069,$D16&lt;=46075),"██████","")</f>
        <v/>
      </c>
      <c r="L16" s="15" t="str">
        <f>IF(AND($D16&lt;&gt;"",$E16&gt;=46076,$D16&lt;=46082),"██████","")</f>
        <v/>
      </c>
      <c r="M16" s="15" t="str">
        <f>IF(AND($D16&lt;&gt;"",$E16&gt;=46083,$D16&lt;=46089),"██████","")</f>
        <v>██████</v>
      </c>
      <c r="N16" s="15" t="str">
        <f>IF(AND($D16&lt;&gt;"",$E16&gt;=46090,$D16&lt;=46096),"██████","")</f>
        <v/>
      </c>
      <c r="O16" s="15" t="str">
        <f>IF(AND($D16&lt;&gt;"",$E16&gt;=46097,$D16&lt;=46103),"██████","")</f>
        <v/>
      </c>
      <c r="P16" s="15" t="str">
        <f>IF(AND($D16&lt;&gt;"",$E16&gt;=46104,$D16&lt;=46110),"██████","")</f>
        <v/>
      </c>
      <c r="Q16" s="15" t="str">
        <f>IF(AND($D16&lt;&gt;"",$E16&gt;=46111,$D16&lt;=46117),"██████","")</f>
        <v/>
      </c>
      <c r="R16" s="15" t="str">
        <f>IF(AND($D16&lt;&gt;"",$E16&gt;=46118,$D16&lt;=46124),"██████","")</f>
        <v/>
      </c>
      <c r="S16" s="65" t="str">
        <f>IF(AND($D16&lt;&gt;"",$E16&gt;=46125,$D16&lt;=46131),"██████","")</f>
        <v/>
      </c>
      <c r="T16" s="66" t="str">
        <f>IF(AND($D16&lt;=T$3+6,$E16&gt;=T$3),"██████","")</f>
        <v/>
      </c>
      <c r="U16" s="38"/>
      <c r="V16" s="47" t="s">
        <v>61</v>
      </c>
      <c r="W16" s="36">
        <v>46138</v>
      </c>
    </row>
    <row r="17" spans="1:21" x14ac:dyDescent="0.35">
      <c r="A17" s="5" t="s">
        <v>26</v>
      </c>
      <c r="B17" s="5" t="s">
        <v>27</v>
      </c>
      <c r="C17" s="12" t="s">
        <v>28</v>
      </c>
      <c r="D17" s="26">
        <v>46084</v>
      </c>
      <c r="E17" s="26">
        <v>46102</v>
      </c>
      <c r="F17" s="5">
        <f>E17-D17+1</f>
        <v>19</v>
      </c>
      <c r="G17" s="5"/>
      <c r="H17" s="16" t="str">
        <f>IF(AND($D17&lt;&gt;"",$E17&gt;=46048,$D17&lt;=46054),"██████","")</f>
        <v/>
      </c>
      <c r="I17" s="16" t="str">
        <f>IF(AND($D17&lt;&gt;"",$E17&gt;=46055,$D17&lt;=46061),"██████","")</f>
        <v/>
      </c>
      <c r="J17" s="16" t="str">
        <f>IF(AND($D17&lt;&gt;"",$E17&gt;=46062,$D17&lt;=46068),"██████","")</f>
        <v/>
      </c>
      <c r="K17" s="16" t="str">
        <f>IF(AND($D17&lt;&gt;"",$E17&gt;=46069,$D17&lt;=46075),"██████","")</f>
        <v/>
      </c>
      <c r="L17" s="16" t="str">
        <f>IF(AND($D17&lt;&gt;"",$E17&gt;=46076,$D17&lt;=46082),"██████","")</f>
        <v/>
      </c>
      <c r="M17" s="16" t="str">
        <f>IF(AND($D17&lt;&gt;"",$E17&gt;=46083,$D17&lt;=46089),"██████","")</f>
        <v>██████</v>
      </c>
      <c r="N17" s="16" t="str">
        <f>IF(AND($D17&lt;&gt;"",$E17&gt;=46090,$D17&lt;=46096),"██████","")</f>
        <v>██████</v>
      </c>
      <c r="O17" s="16" t="str">
        <f>IF(AND($D17&lt;&gt;"",$E17&gt;=46097,$D17&lt;=46103),"██████","")</f>
        <v>██████</v>
      </c>
      <c r="P17" s="16" t="str">
        <f>IF(AND($D17&lt;&gt;"",$E17&gt;=46104,$D17&lt;=46110),"██████","")</f>
        <v/>
      </c>
      <c r="Q17" s="16" t="str">
        <f>IF(AND($D17&lt;&gt;"",$E17&gt;=46111,$D17&lt;=46117),"██████","")</f>
        <v/>
      </c>
      <c r="R17" s="16" t="str">
        <f>IF(AND($D17&lt;&gt;"",$E17&gt;=46118,$D17&lt;=46124),"██████","")</f>
        <v/>
      </c>
      <c r="S17" s="67" t="str">
        <f>IF(AND($D17&lt;&gt;"",$E17&gt;=46125,$D17&lt;=46131),"██████","")</f>
        <v/>
      </c>
      <c r="T17" s="68" t="str">
        <f>IF(AND($D17&lt;=T$3+6,$E17&gt;=T$3),"██████","")</f>
        <v/>
      </c>
      <c r="U17" s="38"/>
    </row>
    <row r="18" spans="1:21" x14ac:dyDescent="0.35">
      <c r="A18" s="2" t="s">
        <v>29</v>
      </c>
      <c r="B18" s="2" t="s">
        <v>30</v>
      </c>
      <c r="C18" s="14" t="s">
        <v>28</v>
      </c>
      <c r="D18" s="25">
        <v>46086</v>
      </c>
      <c r="E18" s="25">
        <v>46102</v>
      </c>
      <c r="F18" s="2">
        <f>E18-D18+1</f>
        <v>17</v>
      </c>
      <c r="G18" s="2"/>
      <c r="H18" s="17" t="str">
        <f>IF(AND($D18&lt;&gt;"",$E18&gt;=46048,$D18&lt;=46054),"██████","")</f>
        <v/>
      </c>
      <c r="I18" s="17" t="str">
        <f>IF(AND($D18&lt;&gt;"",$E18&gt;=46055,$D18&lt;=46061),"██████","")</f>
        <v/>
      </c>
      <c r="J18" s="17" t="str">
        <f>IF(AND($D18&lt;&gt;"",$E18&gt;=46062,$D18&lt;=46068),"██████","")</f>
        <v/>
      </c>
      <c r="K18" s="17" t="str">
        <f>IF(AND($D18&lt;&gt;"",$E18&gt;=46069,$D18&lt;=46075),"██████","")</f>
        <v/>
      </c>
      <c r="L18" s="17" t="str">
        <f>IF(AND($D18&lt;&gt;"",$E18&gt;=46076,$D18&lt;=46082),"██████","")</f>
        <v/>
      </c>
      <c r="M18" s="17" t="str">
        <f>IF(AND($D18&lt;&gt;"",$E18&gt;=46083,$D18&lt;=46089),"██████","")</f>
        <v>██████</v>
      </c>
      <c r="N18" s="17" t="str">
        <f>IF(AND($D18&lt;&gt;"",$E18&gt;=46090,$D18&lt;=46096),"██████","")</f>
        <v>██████</v>
      </c>
      <c r="O18" s="17" t="str">
        <f>IF(AND($D18&lt;&gt;"",$E18&gt;=46097,$D18&lt;=46103),"██████","")</f>
        <v>██████</v>
      </c>
      <c r="P18" s="17" t="str">
        <f>IF(AND($D18&lt;&gt;"",$E18&gt;=46104,$D18&lt;=46110),"██████","")</f>
        <v/>
      </c>
      <c r="Q18" s="17" t="str">
        <f>IF(AND($D18&lt;&gt;"",$E18&gt;=46111,$D18&lt;=46117),"██████","")</f>
        <v/>
      </c>
      <c r="R18" s="17" t="str">
        <f>IF(AND($D18&lt;&gt;"",$E18&gt;=46118,$D18&lt;=46124),"██████","")</f>
        <v/>
      </c>
      <c r="S18" s="69" t="str">
        <f>IF(AND($D18&lt;&gt;"",$E18&gt;=46125,$D18&lt;=46131),"██████","")</f>
        <v/>
      </c>
      <c r="T18" s="70" t="str">
        <f>IF(AND($D18&lt;=T$3+6,$E18&gt;=T$3),"██████","")</f>
        <v/>
      </c>
      <c r="U18" s="38"/>
    </row>
    <row r="19" spans="1:21" x14ac:dyDescent="0.35">
      <c r="A19" s="5" t="s">
        <v>31</v>
      </c>
      <c r="B19" s="5" t="s">
        <v>21</v>
      </c>
      <c r="C19" s="12" t="s">
        <v>28</v>
      </c>
      <c r="D19" s="26">
        <v>46092</v>
      </c>
      <c r="E19" s="26">
        <v>46098</v>
      </c>
      <c r="F19" s="5">
        <f>E19-D19+1</f>
        <v>7</v>
      </c>
      <c r="G19" s="5"/>
      <c r="H19" s="16" t="str">
        <f>IF(AND($D19&lt;&gt;"",$E19&gt;=46048,$D19&lt;=46054),"██████","")</f>
        <v/>
      </c>
      <c r="I19" s="16" t="str">
        <f>IF(AND($D19&lt;&gt;"",$E19&gt;=46055,$D19&lt;=46061),"██████","")</f>
        <v/>
      </c>
      <c r="J19" s="16" t="str">
        <f>IF(AND($D19&lt;&gt;"",$E19&gt;=46062,$D19&lt;=46068),"██████","")</f>
        <v/>
      </c>
      <c r="K19" s="16" t="str">
        <f>IF(AND($D19&lt;&gt;"",$E19&gt;=46069,$D19&lt;=46075),"██████","")</f>
        <v/>
      </c>
      <c r="L19" s="16" t="str">
        <f>IF(AND($D19&lt;&gt;"",$E19&gt;=46076,$D19&lt;=46082),"██████","")</f>
        <v/>
      </c>
      <c r="M19" s="16" t="str">
        <f>IF(AND($D19&lt;&gt;"",$E19&gt;=46083,$D19&lt;=46089),"██████","")</f>
        <v/>
      </c>
      <c r="N19" s="16" t="str">
        <f>IF(AND($D19&lt;&gt;"",$E19&gt;=46090,$D19&lt;=46096),"██████","")</f>
        <v>██████</v>
      </c>
      <c r="O19" s="16" t="str">
        <f>IF(AND($D19&lt;&gt;"",$E19&gt;=46097,$D19&lt;=46103),"██████","")</f>
        <v>██████</v>
      </c>
      <c r="P19" s="16" t="str">
        <f>IF(AND($D19&lt;&gt;"",$E19&gt;=46104,$D19&lt;=46110),"██████","")</f>
        <v/>
      </c>
      <c r="Q19" s="16" t="str">
        <f>IF(AND($D19&lt;&gt;"",$E19&gt;=46111,$D19&lt;=46117),"██████","")</f>
        <v/>
      </c>
      <c r="R19" s="16" t="str">
        <f>IF(AND($D19&lt;&gt;"",$E19&gt;=46118,$D19&lt;=46124),"██████","")</f>
        <v/>
      </c>
      <c r="S19" s="67" t="str">
        <f>IF(AND($D19&lt;&gt;"",$E19&gt;=46125,$D19&lt;=46131),"██████","")</f>
        <v/>
      </c>
      <c r="T19" s="68" t="str">
        <f>IF(AND($D19&lt;=T$3+6,$E19&gt;=T$3),"██████","")</f>
        <v/>
      </c>
      <c r="U19" s="38"/>
    </row>
    <row r="20" spans="1:21" x14ac:dyDescent="0.35">
      <c r="A20" s="2" t="s">
        <v>32</v>
      </c>
      <c r="B20" s="2" t="s">
        <v>21</v>
      </c>
      <c r="C20" s="3" t="s">
        <v>33</v>
      </c>
      <c r="D20" s="25">
        <v>46096</v>
      </c>
      <c r="E20" s="25">
        <v>46108</v>
      </c>
      <c r="F20" s="2">
        <f>E20-D20+1</f>
        <v>13</v>
      </c>
      <c r="G20" s="2"/>
      <c r="H20" s="18" t="str">
        <f>IF(AND($D20&lt;&gt;"",$E20&gt;=46048,$D20&lt;=46054),"██████","")</f>
        <v/>
      </c>
      <c r="I20" s="18" t="str">
        <f>IF(AND($D20&lt;&gt;"",$E20&gt;=46055,$D20&lt;=46061),"██████","")</f>
        <v/>
      </c>
      <c r="J20" s="18" t="str">
        <f>IF(AND($D20&lt;&gt;"",$E20&gt;=46062,$D20&lt;=46068),"██████","")</f>
        <v/>
      </c>
      <c r="K20" s="18" t="str">
        <f>IF(AND($D20&lt;&gt;"",$E20&gt;=46069,$D20&lt;=46075),"██████","")</f>
        <v/>
      </c>
      <c r="L20" s="18" t="str">
        <f>IF(AND($D20&lt;&gt;"",$E20&gt;=46076,$D20&lt;=46082),"██████","")</f>
        <v/>
      </c>
      <c r="M20" s="18" t="str">
        <f>IF(AND($D20&lt;&gt;"",$E20&gt;=46083,$D20&lt;=46089),"██████","")</f>
        <v/>
      </c>
      <c r="N20" s="18" t="str">
        <f>IF(AND($D20&lt;&gt;"",$E20&gt;=46090,$D20&lt;=46096),"██████","")</f>
        <v>██████</v>
      </c>
      <c r="O20" s="18" t="str">
        <f>IF(AND($D20&lt;&gt;"",$E20&gt;=46097,$D20&lt;=46103),"██████","")</f>
        <v>██████</v>
      </c>
      <c r="P20" s="18" t="str">
        <f>IF(AND($D20&lt;&gt;"",$E20&gt;=46104,$D20&lt;=46110),"██████","")</f>
        <v>██████</v>
      </c>
      <c r="Q20" s="18" t="str">
        <f>IF(AND($D20&lt;&gt;"",$E20&gt;=46111,$D20&lt;=46117),"██████","")</f>
        <v/>
      </c>
      <c r="R20" s="18" t="str">
        <f>IF(AND($D20&lt;&gt;"",$E20&gt;=46118,$D20&lt;=46124),"██████","")</f>
        <v/>
      </c>
      <c r="S20" s="71" t="str">
        <f>IF(AND($D20&lt;&gt;"",$E20&gt;=46125,$D20&lt;=46131),"██████","")</f>
        <v/>
      </c>
      <c r="T20" s="72" t="str">
        <f>IF(AND($D20&lt;=T$3+6,$E20&gt;=T$3),"██████","")</f>
        <v/>
      </c>
      <c r="U20" s="38"/>
    </row>
    <row r="21" spans="1:21" x14ac:dyDescent="0.35">
      <c r="A21" s="5" t="s">
        <v>34</v>
      </c>
      <c r="B21" s="5" t="s">
        <v>11</v>
      </c>
      <c r="C21" s="6" t="s">
        <v>33</v>
      </c>
      <c r="D21" s="26">
        <v>46098</v>
      </c>
      <c r="E21" s="26">
        <v>46108</v>
      </c>
      <c r="F21" s="5">
        <f>E21-D21+1</f>
        <v>11</v>
      </c>
      <c r="G21" s="5"/>
      <c r="H21" s="19" t="str">
        <f>IF(AND($D21&lt;&gt;"",$E21&gt;=46048,$D21&lt;=46054),"██████","")</f>
        <v/>
      </c>
      <c r="I21" s="19" t="str">
        <f>IF(AND($D21&lt;&gt;"",$E21&gt;=46055,$D21&lt;=46061),"██████","")</f>
        <v/>
      </c>
      <c r="J21" s="19" t="str">
        <f>IF(AND($D21&lt;&gt;"",$E21&gt;=46062,$D21&lt;=46068),"██████","")</f>
        <v/>
      </c>
      <c r="K21" s="19" t="str">
        <f>IF(AND($D21&lt;&gt;"",$E21&gt;=46069,$D21&lt;=46075),"██████","")</f>
        <v/>
      </c>
      <c r="L21" s="19" t="str">
        <f>IF(AND($D21&lt;&gt;"",$E21&gt;=46076,$D21&lt;=46082),"██████","")</f>
        <v/>
      </c>
      <c r="M21" s="19" t="str">
        <f>IF(AND($D21&lt;&gt;"",$E21&gt;=46083,$D21&lt;=46089),"██████","")</f>
        <v/>
      </c>
      <c r="N21" s="19" t="str">
        <f>IF(AND($D21&lt;&gt;"",$E21&gt;=46090,$D21&lt;=46096),"██████","")</f>
        <v/>
      </c>
      <c r="O21" s="19" t="str">
        <f>IF(AND($D21&lt;&gt;"",$E21&gt;=46097,$D21&lt;=46103),"██████","")</f>
        <v>██████</v>
      </c>
      <c r="P21" s="19" t="str">
        <f>IF(AND($D21&lt;&gt;"",$E21&gt;=46104,$D21&lt;=46110),"██████","")</f>
        <v>██████</v>
      </c>
      <c r="Q21" s="19" t="str">
        <f>IF(AND($D21&lt;&gt;"",$E21&gt;=46111,$D21&lt;=46117),"██████","")</f>
        <v/>
      </c>
      <c r="R21" s="19" t="str">
        <f>IF(AND($D21&lt;&gt;"",$E21&gt;=46118,$D21&lt;=46124),"██████","")</f>
        <v/>
      </c>
      <c r="S21" s="73" t="str">
        <f>IF(AND($D21&lt;&gt;"",$E21&gt;=46125,$D21&lt;=46131),"██████","")</f>
        <v/>
      </c>
      <c r="T21" s="74" t="str">
        <f>IF(AND($D21&lt;=T$3+6,$E21&gt;=T$3),"██████","")</f>
        <v/>
      </c>
      <c r="U21" s="38"/>
    </row>
    <row r="22" spans="1:21" x14ac:dyDescent="0.35">
      <c r="A22" s="2" t="s">
        <v>35</v>
      </c>
      <c r="B22" s="2" t="s">
        <v>9</v>
      </c>
      <c r="C22" s="3" t="s">
        <v>33</v>
      </c>
      <c r="D22" s="25">
        <v>46100</v>
      </c>
      <c r="E22" s="25">
        <v>46120</v>
      </c>
      <c r="F22" s="2">
        <f>E22-D22+1</f>
        <v>21</v>
      </c>
      <c r="G22" s="2"/>
      <c r="H22" s="18" t="str">
        <f>IF(AND($D22&lt;&gt;"",$E22&gt;=46048,$D22&lt;=46054),"██████","")</f>
        <v/>
      </c>
      <c r="I22" s="18" t="str">
        <f>IF(AND($D22&lt;&gt;"",$E22&gt;=46055,$D22&lt;=46061),"██████","")</f>
        <v/>
      </c>
      <c r="J22" s="18" t="str">
        <f>IF(AND($D22&lt;&gt;"",$E22&gt;=46062,$D22&lt;=46068),"██████","")</f>
        <v/>
      </c>
      <c r="K22" s="18" t="str">
        <f>IF(AND($D22&lt;&gt;"",$E22&gt;=46069,$D22&lt;=46075),"██████","")</f>
        <v/>
      </c>
      <c r="L22" s="18" t="str">
        <f>IF(AND($D22&lt;&gt;"",$E22&gt;=46076,$D22&lt;=46082),"██████","")</f>
        <v/>
      </c>
      <c r="M22" s="18" t="str">
        <f>IF(AND($D22&lt;&gt;"",$E22&gt;=46083,$D22&lt;=46089),"██████","")</f>
        <v/>
      </c>
      <c r="N22" s="18" t="str">
        <f>IF(AND($D22&lt;&gt;"",$E22&gt;=46090,$D22&lt;=46096),"██████","")</f>
        <v/>
      </c>
      <c r="O22" s="18" t="str">
        <f>IF(AND($D22&lt;&gt;"",$E22&gt;=46097,$D22&lt;=46103),"██████","")</f>
        <v>██████</v>
      </c>
      <c r="P22" s="18" t="str">
        <f>IF(AND($D22&lt;&gt;"",$E22&gt;=46104,$D22&lt;=46110),"██████","")</f>
        <v>██████</v>
      </c>
      <c r="Q22" s="18" t="str">
        <f>IF(AND($D22&lt;&gt;"",$E22&gt;=46111,$D22&lt;=46117),"██████","")</f>
        <v>██████</v>
      </c>
      <c r="R22" s="18" t="str">
        <f>IF(AND($D22&lt;&gt;"",$E22&gt;=46118,$D22&lt;=46124),"██████","")</f>
        <v>██████</v>
      </c>
      <c r="S22" s="71" t="str">
        <f>IF(AND($D22&lt;&gt;"",$E22&gt;=46125,$D22&lt;=46131),"██████","")</f>
        <v/>
      </c>
      <c r="T22" s="72" t="str">
        <f>IF(AND($D22&lt;=T$3+6,$E22&gt;=T$3),"██████","")</f>
        <v/>
      </c>
      <c r="U22" s="38"/>
    </row>
    <row r="23" spans="1:21" x14ac:dyDescent="0.35">
      <c r="A23" s="5" t="s">
        <v>36</v>
      </c>
      <c r="B23" s="5" t="s">
        <v>21</v>
      </c>
      <c r="C23" s="6" t="s">
        <v>33</v>
      </c>
      <c r="D23" s="26">
        <v>46102</v>
      </c>
      <c r="E23" s="26">
        <v>46112</v>
      </c>
      <c r="F23" s="5">
        <f>E23-D23+1</f>
        <v>11</v>
      </c>
      <c r="G23" s="5"/>
      <c r="H23" s="19" t="str">
        <f>IF(AND($D23&lt;&gt;"",$E23&gt;=46048,$D23&lt;=46054),"██████","")</f>
        <v/>
      </c>
      <c r="I23" s="19" t="str">
        <f>IF(AND($D23&lt;&gt;"",$E23&gt;=46055,$D23&lt;=46061),"██████","")</f>
        <v/>
      </c>
      <c r="J23" s="19" t="str">
        <f>IF(AND($D23&lt;&gt;"",$E23&gt;=46062,$D23&lt;=46068),"██████","")</f>
        <v/>
      </c>
      <c r="K23" s="19" t="str">
        <f>IF(AND($D23&lt;&gt;"",$E23&gt;=46069,$D23&lt;=46075),"██████","")</f>
        <v/>
      </c>
      <c r="L23" s="19" t="str">
        <f>IF(AND($D23&lt;&gt;"",$E23&gt;=46076,$D23&lt;=46082),"██████","")</f>
        <v/>
      </c>
      <c r="M23" s="19" t="str">
        <f>IF(AND($D23&lt;&gt;"",$E23&gt;=46083,$D23&lt;=46089),"██████","")</f>
        <v/>
      </c>
      <c r="N23" s="19" t="str">
        <f>IF(AND($D23&lt;&gt;"",$E23&gt;=46090,$D23&lt;=46096),"██████","")</f>
        <v/>
      </c>
      <c r="O23" s="19" t="str">
        <f>IF(AND($D23&lt;&gt;"",$E23&gt;=46097,$D23&lt;=46103),"██████","")</f>
        <v>██████</v>
      </c>
      <c r="P23" s="19" t="str">
        <f>IF(AND($D23&lt;&gt;"",$E23&gt;=46104,$D23&lt;=46110),"██████","")</f>
        <v>██████</v>
      </c>
      <c r="Q23" s="19" t="str">
        <f>IF(AND($D23&lt;&gt;"",$E23&gt;=46111,$D23&lt;=46117),"██████","")</f>
        <v>██████</v>
      </c>
      <c r="R23" s="19" t="str">
        <f>IF(AND($D23&lt;&gt;"",$E23&gt;=46118,$D23&lt;=46124),"██████","")</f>
        <v/>
      </c>
      <c r="S23" s="73" t="str">
        <f>IF(AND($D23&lt;&gt;"",$E23&gt;=46125,$D23&lt;=46131),"██████","")</f>
        <v/>
      </c>
      <c r="T23" s="74" t="str">
        <f>IF(AND($D23&lt;=T$3+6,$E23&gt;=T$3),"██████","")</f>
        <v/>
      </c>
      <c r="U23" s="38"/>
    </row>
    <row r="24" spans="1:21" x14ac:dyDescent="0.35">
      <c r="A24" s="2" t="s">
        <v>53</v>
      </c>
      <c r="B24" s="2" t="s">
        <v>9</v>
      </c>
      <c r="C24" s="3" t="s">
        <v>37</v>
      </c>
      <c r="D24" s="25">
        <v>46100</v>
      </c>
      <c r="E24" s="25">
        <v>46112</v>
      </c>
      <c r="F24" s="2">
        <f>E24-D24+1</f>
        <v>13</v>
      </c>
      <c r="G24" s="2"/>
      <c r="H24" s="20" t="str">
        <f>IF(AND($D24&lt;&gt;"",$E24&gt;=46048,$D24&lt;=46054),"██████","")</f>
        <v/>
      </c>
      <c r="I24" s="20" t="str">
        <f>IF(AND($D24&lt;&gt;"",$E24&gt;=46055,$D24&lt;=46061),"██████","")</f>
        <v/>
      </c>
      <c r="J24" s="20" t="str">
        <f>IF(AND($D24&lt;&gt;"",$E24&gt;=46062,$D24&lt;=46068),"██████","")</f>
        <v/>
      </c>
      <c r="K24" s="20" t="str">
        <f>IF(AND($D24&lt;&gt;"",$E24&gt;=46069,$D24&lt;=46075),"██████","")</f>
        <v/>
      </c>
      <c r="L24" s="20" t="str">
        <f>IF(AND($D24&lt;&gt;"",$E24&gt;=46076,$D24&lt;=46082),"██████","")</f>
        <v/>
      </c>
      <c r="M24" s="20" t="str">
        <f>IF(AND($D24&lt;&gt;"",$E24&gt;=46083,$D24&lt;=46089),"██████","")</f>
        <v/>
      </c>
      <c r="N24" s="20" t="str">
        <f>IF(AND($D24&lt;&gt;"",$E24&gt;=46090,$D24&lt;=46096),"██████","")</f>
        <v/>
      </c>
      <c r="O24" s="20" t="str">
        <f>IF(AND($D24&lt;&gt;"",$E24&gt;=46097,$D24&lt;=46103),"██████","")</f>
        <v>██████</v>
      </c>
      <c r="P24" s="20" t="str">
        <f>IF(AND($D24&lt;&gt;"",$E24&gt;=46104,$D24&lt;=46110),"██████","")</f>
        <v>██████</v>
      </c>
      <c r="Q24" s="20" t="str">
        <f>IF(AND($D24&lt;&gt;"",$E24&gt;=46111,$D24&lt;=46117),"██████","")</f>
        <v>██████</v>
      </c>
      <c r="R24" s="20" t="str">
        <f>IF(AND($D24&lt;&gt;"",$E24&gt;=46118,$D24&lt;=46124),"██████","")</f>
        <v/>
      </c>
      <c r="S24" s="75" t="str">
        <f>IF(AND($D24&lt;&gt;"",$E24&gt;=46125,$D24&lt;=46131),"██████","")</f>
        <v/>
      </c>
      <c r="T24" s="76" t="str">
        <f>IF(AND($D24&lt;=T$3+6,$E24&gt;=T$3),"██████","")</f>
        <v/>
      </c>
      <c r="U24" s="38"/>
    </row>
    <row r="25" spans="1:21" x14ac:dyDescent="0.35">
      <c r="A25" s="5" t="s">
        <v>38</v>
      </c>
      <c r="B25" s="5" t="s">
        <v>39</v>
      </c>
      <c r="C25" s="6" t="s">
        <v>40</v>
      </c>
      <c r="D25" s="26">
        <v>46136</v>
      </c>
      <c r="E25" s="26">
        <v>46138</v>
      </c>
      <c r="F25" s="5">
        <f>E25-D25+1</f>
        <v>3</v>
      </c>
      <c r="G25" s="5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77"/>
      <c r="T25" s="78" t="str">
        <f>IF(AND($D25&lt;=T$3+6,$E25&gt;=T$3),"██████","")</f>
        <v>██████</v>
      </c>
      <c r="U25" s="38"/>
    </row>
  </sheetData>
  <mergeCells count="2">
    <mergeCell ref="A1:R1"/>
    <mergeCell ref="V1:W1"/>
  </mergeCells>
  <pageMargins left="0.7" right="0.7" top="0.75" bottom="0.75" header="0.3" footer="0.3"/>
  <pageSetup paperSize="5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Maurrasse</dc:creator>
  <cp:lastModifiedBy>Mike Maurrasse</cp:lastModifiedBy>
  <cp:lastPrinted>2026-03-29T22:34:58Z</cp:lastPrinted>
  <dcterms:created xsi:type="dcterms:W3CDTF">2026-03-29T22:26:06Z</dcterms:created>
  <dcterms:modified xsi:type="dcterms:W3CDTF">2026-03-29T23:13:38Z</dcterms:modified>
</cp:coreProperties>
</file>